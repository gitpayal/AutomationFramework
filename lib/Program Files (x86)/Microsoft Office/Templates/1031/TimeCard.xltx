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Zeiterfassung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<sst xmlns="http://schemas.openxmlformats.org/spreadsheetml/2006/main" count="30" uniqueCount="28">
  <si>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Vorgesetzter:</t>
  </si>
  <si>
    <t>Telefon des Mitarbeiters:</t>
  </si>
  <si>
    <t>Woche endet am:</t>
  </si>
  <si>
    <t>Tag</t>
  </si>
  <si>
    <t>Reguläre Arbeitszeit</t>
  </si>
  <si>
    <t>Krank</t>
  </si>
  <si>
    <t>Urlaub</t>
  </si>
  <si>
    <t>Summe</t>
  </si>
  <si>
    <t>Samstag</t>
  </si>
  <si>
    <t>Sonntag</t>
  </si>
  <si>
    <t>Montag</t>
  </si>
  <si>
    <t>Dienstag</t>
  </si>
  <si>
    <t>Mittwoch</t>
  </si>
  <si>
    <t>Donnerstag</t>
  </si>
  <si>
    <t>Freitag</t>
  </si>
  <si>
    <t>Stunden gesamt</t>
  </si>
  <si>
    <t>Bezahlung gesamt</t>
  </si>
  <si>
    <t>Stundensatz</t>
  </si>
  <si>
    <t>Datum</t>
  </si>
  <si>
    <t>E-Mail des Mitarbeiters:</t>
  </si>
  <si>
    <t>Unterschrift des Mitarbeiters</t>
  </si>
  <si>
    <t>Unterschrift des Vorgesetzen</t>
  </si>
  <si>
    <t>[Adresse]</t>
  </si>
  <si>
    <t>[Adresse 2]</t>
  </si>
  <si>
    <t>Postleitzahl, Ort</t>
  </si>
  <si>
    <t xml:space="preserve">Überstunden </t>
  </si>
  <si>
    <t>Mitarbeiter</t>
  </si>
  <si>
    <t>Zeiterfassung</t>
  </si>
</sst>
</file>

<file path=xl/styles.xml><?xml version="1.0" encoding="utf-8"?>
<styleSheet xmlns="http://schemas.openxmlformats.org/spreadsheetml/2006/main">
  <numFmts count="1">
    <numFmt numFmtId="44" formatCode="_(* #,##0.00 &quot;€&quot;_);_(* \(#,##0.00 &quot;€&quot;\);_(* &quot;-&quot;?? &quot;€&quot;_);_(@_)"/>
  </numFmts>
  <fonts count="15">
    <font>
      <sz val="10"/>
      <color theme="1"/>
      <name val="Verdana"/>
      <family val="2"/>
      <scheme val="minor"/>
    </font>
    <font>
      <sz val="10"/>
      <color theme="1"/>
      <name val="Arial"/>
    </font>
    <font>
      <sz val="11"/>
      <color theme="2" tint="-0.64998321481978816"/>
      <name val="Verdana"/>
      <family val="2"/>
      <scheme val="minor"/>
    </font>
    <font>
      <sz val="10"/>
      <color theme="1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theme="2" tint="-0.64998321481978816"/>
      <name val="Verdana"/>
      <family val="2"/>
      <scheme val="minor"/>
    </font>
    <font>
      <sz val="9"/>
      <color indexed="23"/>
      <name val="Verdana"/>
      <family val="2"/>
      <scheme val="minor"/>
    </font>
    <font>
      <b val="1"/>
      <sz val="9"/>
      <color theme="1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indexed="23"/>
      <name val="Verdana"/>
      <family val="2"/>
      <scheme val="minor"/>
    </font>
    <font>
      <sz val="8"/>
      <color indexed="23"/>
      <name val="Verdana"/>
      <family val="2"/>
      <scheme val="minor"/>
    </font>
    <font>
      <sz val="24"/>
      <color theme="2" tint="-0.249977111117893"/>
      <name val="Verdana"/>
      <family val="2"/>
      <scheme val="minor"/>
    </font>
    <font>
      <sz val="22"/>
      <color theme="2" tint="-0.249977111117893"/>
      <name val="Verdana"/>
      <family val="2"/>
      <scheme val="minor"/>
    </font>
    <font>
      <sz val="24"/>
      <color theme="9" tint="0.39997558519241921"/>
      <name val="Verdana"/>
      <family val="2"/>
      <scheme val="minor"/>
    </font>
    <font>
      <b val="1"/>
      <sz val="10"/>
      <color theme="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44" fontId="4" fillId="2" borderId="2" xfId="0" applyNumberFormat="1" applyFont="1" applyFill="1" applyBorder="1" applyAlignment="1">
      <alignment horizontal="center" vertical="center"/>
    </xf>
    <xf numFmtId="4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44" fontId="7" fillId="3" borderId="2" xfId="0" applyNumberFormat="1" applyFont="1" applyFill="1" applyBorder="1" applyAlignment="1">
      <alignment horizontal="center" vertical="center"/>
    </xf>
    <xf numFmtId="44" fontId="7" fillId="3" borderId="2" xfId="1" applyNumberFormat="1" applyFont="1" applyFill="1" applyBorder="1" applyAlignment="1">
      <alignment horizontal="center" vertical="center"/>
    </xf>
    <xf numFmtId="4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Ganymed">
  <a:themeElements>
    <a:clrScheme name="Währung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Ganymed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Ganymed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2"/>
      <c r="D7" s="62"/>
      <c r="E7" s="2"/>
      <c r="F7" s="1" t="s">
        <v>0</v>
      </c>
      <c r="G7" s="63"/>
      <c r="H7" s="64"/>
    </row>
    <row r="8" spans="2:9" customFormat="1"/>
    <row r="9" spans="2:9" s="29" customFormat="1">
      <c r="B9" s="3" t="s">
        <v>22</v>
      </c>
      <c r="C9" s="63"/>
      <c r="D9" s="63"/>
      <c r="E9" s="2"/>
      <c r="F9" s="4" t="s">
        <v>1</v>
      </c>
      <c r="G9" s="62"/>
      <c r="H9" s="62"/>
      <c r="I9" s="6"/>
    </row>
    <row r="10" spans="2:9" customFormat="1"/>
    <row r="11" spans="2:9" s="29" customFormat="1">
      <c r="B11" s="3" t="s">
        <v>23</v>
      </c>
      <c r="C11" s="63"/>
      <c r="D11" s="63"/>
      <c r="E11" s="5"/>
      <c r="F11" s="4" t="s">
        <v>19</v>
      </c>
      <c r="G11" s="62"/>
      <c r="H11" s="62"/>
      <c r="I11" s="6"/>
    </row>
    <row r="12" spans="2:9" customFormat="1"/>
    <row r="13" spans="2:9" s="29" customFormat="1">
      <c r="B13" s="3" t="s">
        <v>24</v>
      </c>
      <c r="C13" s="63"/>
      <c r="D13" s="63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5">
        <v>39082</v>
      </c>
      <c r="D16" s="65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</c>
      <c r="D21" s="48"/>
      <c r="E21" s="48"/>
      <c r="F21" s="48"/>
      <c r="G21" s="49"/>
      <c r="H21" s="48">
        <f t="shared" ref="H21:H27" si="0">IF(SUM(D21:G21)&gt;24,"Summe &gt; 24 Stunden.",SUM(D21:G21))</f>
      </c>
    </row>
    <row r="22" spans="2:9" ht="23.25" customHeight="1">
      <c r="B22" s="50" t="s">
        <v>11</v>
      </c>
      <c r="C22" s="51">
        <f>IF($C$16=0,"",$C$16-5)</f>
      </c>
      <c r="D22" s="52"/>
      <c r="E22" s="53"/>
      <c r="F22" s="53"/>
      <c r="G22" s="54"/>
      <c r="H22" s="53">
        <f t="shared" si="0"/>
      </c>
    </row>
    <row r="23" spans="2:9" ht="23.25" customHeight="1">
      <c r="B23" s="46" t="s">
        <v>12</v>
      </c>
      <c r="C23" s="47">
        <f>IF($C$16=0,"",$C$16-4)</f>
      </c>
      <c r="D23" s="48"/>
      <c r="E23" s="48"/>
      <c r="F23" s="48"/>
      <c r="G23" s="49"/>
      <c r="H23" s="48">
        <f t="shared" si="0"/>
      </c>
    </row>
    <row r="24" spans="2:9" ht="23.25" customHeight="1">
      <c r="B24" s="55" t="s">
        <v>13</v>
      </c>
      <c r="C24" s="56">
        <f>IF($C$16=0,"",$C$16-3)</f>
      </c>
      <c r="D24" s="53"/>
      <c r="E24" s="53"/>
      <c r="F24" s="53"/>
      <c r="G24" s="57"/>
      <c r="H24" s="53">
        <f t="shared" si="0"/>
      </c>
    </row>
    <row r="25" spans="2:9" ht="23.25" customHeight="1">
      <c r="B25" s="46" t="s">
        <v>14</v>
      </c>
      <c r="C25" s="47">
        <f>IF($C$16=0,"",$C$16-2)</f>
      </c>
      <c r="D25" s="48"/>
      <c r="E25" s="48"/>
      <c r="F25" s="48"/>
      <c r="G25" s="49"/>
      <c r="H25" s="48">
        <f t="shared" si="0"/>
      </c>
    </row>
    <row r="26" spans="2:9" ht="23.25" customHeight="1">
      <c r="B26" s="55" t="s">
        <v>8</v>
      </c>
      <c r="C26" s="56">
        <f>IF($C$16=0,"",$C$16-1)</f>
      </c>
      <c r="D26" s="53"/>
      <c r="E26" s="53"/>
      <c r="F26" s="53"/>
      <c r="G26" s="57"/>
      <c r="H26" s="53">
        <f t="shared" si="0"/>
      </c>
    </row>
    <row r="27" spans="2:9" ht="23.25" customHeight="1">
      <c r="B27" s="58" t="s">
        <v>9</v>
      </c>
      <c r="C27" s="59">
        <f>IF($C$16=0,"",$C$16)</f>
      </c>
      <c r="D27" s="60"/>
      <c r="E27" s="48"/>
      <c r="F27" s="48"/>
      <c r="G27" s="61"/>
      <c r="H27" s="48">
        <f t="shared" si="0"/>
      </c>
    </row>
    <row r="28" spans="2:9" ht="23.25" customHeight="1">
      <c r="B28" s="41" t="s">
        <v>15</v>
      </c>
      <c r="C28" s="38"/>
      <c r="D28" s="33">
        <f>SUM(D21:D27)</f>
      </c>
      <c r="E28" s="33">
        <f>SUM(E21:E27)</f>
      </c>
      <c r="F28" s="33">
        <f>SUM(F21:F27)</f>
      </c>
      <c r="G28" s="34">
        <f>SUM(G21:G27)</f>
      </c>
      <c r="H28" s="33">
        <f>SUM(H21:H27)</f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</c>
      <c r="E30" s="36">
        <f>E28*E29</f>
      </c>
      <c r="F30" s="36">
        <f>F28*F29</f>
      </c>
      <c r="G30" s="37">
        <f>G28*G29</f>
      </c>
      <c r="H30" s="36">
        <f>SUM(D30:G30)</f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3"/>
      <c r="E35" s="63"/>
      <c r="F35" s="63"/>
      <c r="G35" s="63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6"/>
      <c r="E37" s="66"/>
      <c r="F37" s="66"/>
      <c r="G37" s="66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13:D13"/>
    <mergeCell ref="C16:D16"/>
    <mergeCell ref="D35:G35"/>
    <mergeCell ref="D37:G37"/>
    <mergeCell ref="G11:H11"/>
    <mergeCell ref="C7:D7"/>
    <mergeCell ref="C9:D9"/>
    <mergeCell ref="C11:D11"/>
    <mergeCell ref="G7:H7"/>
    <mergeCell ref="G9:H9"/>
  </mergeCells>
  <phoneticPr fontId="0" type="noConversion"/>
  <pageMargins left="0.5" right="0.5" top="1" bottom="1" header="0.5" footer="0"/>
  <pageSetup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Zeiterfassung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2006-09-15T19:01:29Z</dcterms:created>
  <dcterms:modified xsi:type="dcterms:W3CDTF">2006-09-15T19:02:32Z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